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기초가정" sheetId="1" state="visible" r:id="rId1"/>
    <sheet xmlns:r="http://schemas.openxmlformats.org/officeDocument/2006/relationships" name="미래생명_공식손익(NAV기준)" sheetId="2" state="visible" r:id="rId2"/>
    <sheet xmlns:r="http://schemas.openxmlformats.org/officeDocument/2006/relationships" name="SpaceX_Lookthrough_손익분석" sheetId="3" state="visible" r:id="rId3"/>
    <sheet xmlns:r="http://schemas.openxmlformats.org/officeDocument/2006/relationships" name="요약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#,##0;\(#,##0&quot;)원&quot;"/>
    <numFmt numFmtId="166" formatCode="\$#,##0.00"/>
    <numFmt numFmtId="167" formatCode="0.0%;\(0.0%\)"/>
    <numFmt numFmtId="168" formatCode="#,##0.000"/>
    <numFmt numFmtId="169" formatCode="\$#,##0;&quot;($&quot;#,##0\)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Noto Sans CJK SC"/>
      <family val="2"/>
      <b val="1"/>
      <color rgb="FF1F4E78"/>
      <sz val="14"/>
    </font>
    <font>
      <name val="Arial"/>
      <charset val="1"/>
      <family val="0"/>
      <i val="1"/>
      <color rgb="FF808080"/>
      <sz val="9"/>
    </font>
    <font>
      <name val="Noto Sans CJK SC"/>
      <family val="2"/>
      <i val="1"/>
      <color rgb="FF808080"/>
      <sz val="9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Noto Sans CJK SC"/>
      <family val="2"/>
      <b val="1"/>
      <color rgb="FF1F4E78"/>
      <sz val="11"/>
    </font>
    <font>
      <name val="Arial"/>
      <charset val="1"/>
      <family val="0"/>
      <color rgb="FF008000"/>
      <sz val="11"/>
    </font>
    <font>
      <name val="Noto Sans CJK SC"/>
      <family val="2"/>
      <b val="1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1F4E78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167" fontId="11" fillId="0" borderId="1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4" fontId="12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bottom"/>
    </xf>
    <xf numFmtId="165" fontId="16" fillId="4" borderId="1" applyAlignment="1" pivotButton="0" quotePrefix="0" xfId="0">
      <alignment horizontal="general" vertical="bottom"/>
    </xf>
    <xf numFmtId="167" fontId="16" fillId="4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general" vertical="bottom"/>
    </xf>
    <xf numFmtId="167" fontId="12" fillId="4" borderId="1" applyAlignment="1" pivotButton="0" quotePrefix="0" xfId="0">
      <alignment horizontal="general" vertical="bottom"/>
    </xf>
    <xf numFmtId="169" fontId="12" fillId="4" borderId="1" applyAlignment="1" pivotButton="0" quotePrefix="0" xfId="0">
      <alignment horizontal="general" vertical="bottom"/>
    </xf>
    <xf numFmtId="165" fontId="12" fillId="4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167" fontId="11" fillId="0" borderId="1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4" fontId="12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bottom"/>
    </xf>
    <xf numFmtId="165" fontId="16" fillId="4" borderId="1" applyAlignment="1" pivotButton="0" quotePrefix="0" xfId="0">
      <alignment horizontal="general" vertical="bottom"/>
    </xf>
    <xf numFmtId="167" fontId="16" fillId="4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general" vertical="bottom"/>
    </xf>
    <xf numFmtId="167" fontId="12" fillId="4" borderId="1" applyAlignment="1" pivotButton="0" quotePrefix="0" xfId="0">
      <alignment horizontal="general" vertical="bottom"/>
    </xf>
    <xf numFmtId="169" fontId="12" fillId="4" borderId="1" applyAlignment="1" pivotButton="0" quotePrefix="0" xfId="0">
      <alignment horizontal="general" vertical="bottom"/>
    </xf>
    <xf numFmtId="165" fontId="12" fillId="4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미래생명 평가손익 3단 요인 분해 (KRW)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'요약'!$A$14:$A$16</f>
            </numRef>
          </cat>
          <val>
            <numRef>
              <f>'요약'!$B$13:$B$16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요인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SpaceX 주가 시나리오별 미래생명 수익률 (USD vs KRW)</a:t>
            </a:r>
          </a:p>
        </rich>
      </tx>
    </title>
    <plotArea>
      <lineChart>
        <grouping val="standard"/>
        <ser>
          <idx val="0"/>
          <order val="0"/>
          <tx>
            <strRef>
              <f>'SpaceX_Lookthrough_손익분석'!H15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'SpaceX_Lookthrough_손익분석'!$C$16:$C$28</f>
            </numRef>
          </cat>
          <val>
            <numRef>
              <f>'SpaceX_Lookthrough_손익분석'!$H$16:$H$28</f>
            </numRef>
          </val>
          <smooth val="0"/>
        </ser>
        <ser>
          <idx val="1"/>
          <order val="1"/>
          <tx>
            <strRef>
              <f>'SpaceX_Lookthrough_손익분석'!I15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'SpaceX_Lookthrough_손익분석'!$C$16:$C$28</f>
            </numRef>
          </cat>
          <val>
            <numRef>
              <f>'SpaceX_Lookthrough_손익분석'!$I$16:$I$28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공모가 대비 SpaceX 주가 등락률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수익률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45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44" min="1" max="1"/>
    <col width="22" customWidth="1" style="44" min="2" max="2"/>
    <col width="64" customWidth="1" style="44" min="3" max="3"/>
  </cols>
  <sheetData>
    <row r="1" ht="21.6" customHeight="1" s="45">
      <c r="A1" s="46" t="inlineStr">
        <is>
          <t>APEX 펀드(Apex Fund. Ltd.) - 미래생명 손익분석 기초가정 (원본자료 재입력분 반영)</t>
        </is>
      </c>
    </row>
    <row r="2" ht="15" customHeight="1" s="45">
      <c r="A2" s="47" t="inlineStr">
        <is>
          <t>(단위: USD, KRW / 2026년 6월말 기준, 원본자료 수치를 그대로 사용)</t>
        </is>
      </c>
    </row>
    <row r="4" ht="17.15" customHeight="1" s="45">
      <c r="A4" s="48" t="inlineStr">
        <is>
          <t>구분</t>
        </is>
      </c>
      <c r="B4" s="48" t="inlineStr">
        <is>
          <t>값</t>
        </is>
      </c>
      <c r="C4" s="48" t="inlineStr">
        <is>
          <t>비고 / 출처</t>
        </is>
      </c>
    </row>
    <row r="5" ht="15" customHeight="1" s="45">
      <c r="A5" s="49" t="inlineStr">
        <is>
          <t>평가기준일</t>
        </is>
      </c>
      <c r="B5" s="50" t="inlineStr">
        <is>
          <t>2026-06-30</t>
        </is>
      </c>
      <c r="C5" s="51" t="inlineStr">
        <is>
          <t>원본자료: APEX 펀드 정보_2026년 6월말.xlsx</t>
        </is>
      </c>
    </row>
    <row r="6" ht="17.15" customHeight="1" s="45">
      <c r="A6" s="49" t="inlineStr">
        <is>
          <t>취득시점 환율 (원/USD)</t>
        </is>
      </c>
      <c r="B6" s="52" t="n">
        <v>1519.8</v>
      </c>
      <c r="C6" s="51" t="inlineStr">
        <is>
          <t>원본자료 "취득시점 환율"</t>
        </is>
      </c>
    </row>
    <row r="7" ht="17.15" customHeight="1" s="45">
      <c r="A7" s="49" t="inlineStr">
        <is>
          <t>평가기준일 환율 (원/USD)</t>
        </is>
      </c>
      <c r="B7" s="52" t="n">
        <v>1549.4</v>
      </c>
      <c r="C7" s="51" t="inlineStr">
        <is>
          <t>원본자료 "평가기준일 USD 환율" (서울외국환중개 매매기준율 종가, 2026-06-30)</t>
        </is>
      </c>
    </row>
    <row r="8" ht="17.15" customHeight="1" s="45">
      <c r="A8" s="49" t="inlineStr">
        <is>
          <t>예금 (KRW)</t>
        </is>
      </c>
      <c r="B8" s="53" t="n">
        <v>5841950757</v>
      </c>
      <c r="C8" s="51" t="inlineStr">
        <is>
          <t>원본자료 "예금"</t>
        </is>
      </c>
    </row>
    <row r="9" ht="17.15" customHeight="1" s="45">
      <c r="A9" s="49" t="inlineStr">
        <is>
          <t>외화예치금 (KRW)</t>
        </is>
      </c>
      <c r="B9" s="53" t="n">
        <v>10774106163.2</v>
      </c>
      <c r="C9" s="51" t="inlineStr">
        <is>
          <t>원본자료 "외화예치금" (USD 기준 6,953,728)</t>
        </is>
      </c>
    </row>
    <row r="10" ht="17.15" customHeight="1" s="45">
      <c r="A10" s="49" t="inlineStr">
        <is>
          <t>해외수익증권_Apex Fund. Ltd. (KRW)</t>
        </is>
      </c>
      <c r="B10" s="53" t="n">
        <v>663435633756</v>
      </c>
      <c r="C10" s="51" t="inlineStr">
        <is>
          <t>원본자료 "해외수익증권_Apex Fund. Ltd." (USD 기준 428,188,740)</t>
        </is>
      </c>
    </row>
    <row r="11" ht="17.15" customHeight="1" s="45">
      <c r="A11" s="49" t="inlineStr">
        <is>
          <t>기타자산 (KRW)</t>
        </is>
      </c>
      <c r="B11" s="53" t="n">
        <v>68571167</v>
      </c>
      <c r="C11" s="51" t="inlineStr">
        <is>
          <t>원본자료 "기타자산"</t>
        </is>
      </c>
    </row>
    <row r="12" ht="17.15" customHeight="1" s="45">
      <c r="A12" s="49" t="inlineStr">
        <is>
          <t>미지급보수 등 / 총부채 (KRW)</t>
        </is>
      </c>
      <c r="B12" s="53" t="n">
        <v>119333327</v>
      </c>
      <c r="C12" s="51" t="inlineStr">
        <is>
          <t>원본자료 "미지급보수 등"·"총부채"</t>
        </is>
      </c>
    </row>
    <row r="13" ht="17.15" customHeight="1" s="45">
      <c r="A13" s="49" t="inlineStr">
        <is>
          <t>잔존좌수 (펀드 전체 발행좌수)</t>
        </is>
      </c>
      <c r="B13" s="54" t="n">
        <v>537062646996</v>
      </c>
      <c r="C13" s="51" t="inlineStr">
        <is>
          <t>원본자료 "잔존좌수"</t>
        </is>
      </c>
    </row>
    <row r="14" ht="17.15" customHeight="1" s="45">
      <c r="A14" s="55" t="inlineStr">
        <is>
          <t>SpaceX 공모가격 (USD/주)</t>
        </is>
      </c>
      <c r="B14" s="56" t="n">
        <v>135</v>
      </c>
      <c r="C14" s="51" t="inlineStr">
        <is>
          <t>원본자료 "Space X 공모가격"</t>
        </is>
      </c>
    </row>
    <row r="15" ht="17.15" customHeight="1" s="45">
      <c r="A15" s="55" t="inlineStr">
        <is>
          <t>SpaceX 결산시점(6/30) 가격 (USD/주)</t>
        </is>
      </c>
      <c r="B15" s="56" t="n">
        <v>170.86</v>
      </c>
      <c r="C15" s="51" t="inlineStr">
        <is>
          <t>원본자료 "Space X 결산시점 가격(2026-06-30)"</t>
        </is>
      </c>
    </row>
    <row r="16" ht="17.15" customHeight="1" s="45">
      <c r="A16" s="55" t="inlineStr">
        <is>
          <t>Apex Fund. Ltd.의 SpaceX 보유주식수 (주)</t>
        </is>
      </c>
      <c r="B16" s="57" t="n">
        <v>2486250</v>
      </c>
      <c r="C16" s="51" t="inlineStr">
        <is>
          <t>원본자료 "Apex Fund. Ltd. 의 SpaceX 보유지분"</t>
        </is>
      </c>
    </row>
    <row r="17" ht="17.15" customHeight="1" s="45">
      <c r="A17" s="49" t="inlineStr">
        <is>
          <t>미래생명의 SpaceX 보유주식수 (주)</t>
        </is>
      </c>
      <c r="B17" s="57" t="n">
        <v>575111.209961909</v>
      </c>
      <c r="C17" s="51" t="inlineStr">
        <is>
          <t>원본자료 "미래생명의 SpaceX 보유지분"</t>
        </is>
      </c>
    </row>
    <row r="18" ht="15" customHeight="1" s="45">
      <c r="A18" s="49" t="inlineStr">
        <is>
          <t>미래생명 보유지분율</t>
        </is>
      </c>
      <c r="B18" s="58" t="n">
        <v>0.231316725977641</v>
      </c>
      <c r="C18" s="51" t="inlineStr">
        <is>
          <t>원본자료 "보유지분" / "지분율" (일치)</t>
        </is>
      </c>
    </row>
    <row r="19" ht="15" customHeight="1" s="45">
      <c r="A19" s="49" t="inlineStr">
        <is>
          <t>미래생명 보유좌수</t>
        </is>
      </c>
      <c r="B19" s="54" t="n">
        <v>124231573148</v>
      </c>
      <c r="C19" s="51" t="inlineStr">
        <is>
          <t>원본자료 "보유좌수" (펀드 전체 잔존좌수 대비)</t>
        </is>
      </c>
    </row>
    <row r="20" ht="17.15" customHeight="1" s="45">
      <c r="A20" s="49" t="inlineStr">
        <is>
          <t>미래생명 취득금액 (KRW, 원본자료)</t>
        </is>
      </c>
      <c r="B20" s="53" t="n">
        <v>124231573148</v>
      </c>
      <c r="C20" s="51" t="inlineStr">
        <is>
          <t>원본자료 "취득금액" (= 보유좌수 × 좌당 액면 1원)</t>
        </is>
      </c>
    </row>
    <row r="21" ht="17.15" customHeight="1" s="45">
      <c r="A21" s="49" t="inlineStr">
        <is>
          <t>미래생명 평가금액 (KRW, 원본자료)</t>
        </is>
      </c>
      <c r="B21" s="53" t="n">
        <v>157295557878</v>
      </c>
      <c r="C21" s="51" t="inlineStr">
        <is>
          <t>원본자료 "평가금액" (= 보유좌수 × 6/30 기준가/1000)</t>
        </is>
      </c>
    </row>
    <row r="22" ht="17.15" customHeight="1" s="45">
      <c r="A22" s="49" t="inlineStr">
        <is>
          <t>미래생명 평가손익 (KRW, 원본자료)</t>
        </is>
      </c>
      <c r="B22" s="53" t="n">
        <v>33063984730</v>
      </c>
      <c r="C22" s="51" t="inlineStr">
        <is>
          <t>원본자료 "평가손익" (공식 NAV/기준가 기준, 미래생명 최종 확정 손익)</t>
        </is>
      </c>
    </row>
    <row r="24" ht="15" customHeight="1" s="45">
      <c r="A24" s="59" t="inlineStr">
        <is>
          <t>▶ 검증 및 계산값</t>
        </is>
      </c>
    </row>
    <row r="25" ht="17.15" customHeight="1" s="45">
      <c r="A25" s="49" t="inlineStr">
        <is>
          <t>총자산 (KRW, 검증)</t>
        </is>
      </c>
      <c r="B25" s="60">
        <f>B8+B9+B10+B11</f>
        <v/>
      </c>
      <c r="C25" s="51" t="inlineStr">
        <is>
          <t>원본자료 "총자산" 680,120,261,843.2와 일치 확인용</t>
        </is>
      </c>
    </row>
    <row r="26" ht="17.15" customHeight="1" s="45">
      <c r="A26" s="55" t="inlineStr">
        <is>
          <t>NAV (KRW, 검증)</t>
        </is>
      </c>
      <c r="B26" s="60">
        <f>B25-B12</f>
        <v/>
      </c>
      <c r="C26" s="51" t="inlineStr">
        <is>
          <t>원본자료 "NAV" 680,000,928,516.2와 일치 확인용</t>
        </is>
      </c>
    </row>
    <row r="27" ht="17.15" customHeight="1" s="45">
      <c r="A27" s="49" t="inlineStr">
        <is>
          <t>천좌당 기준가 (KRW, 검증)</t>
        </is>
      </c>
      <c r="B27" s="61">
        <f>B26/B13*1000</f>
        <v/>
      </c>
      <c r="C27" s="51" t="inlineStr">
        <is>
          <t>원본자료 "천좌당 가치" 1266.148과 일치 확인용</t>
        </is>
      </c>
    </row>
    <row r="28" ht="17.15" customHeight="1" s="45">
      <c r="A28" s="49" t="inlineStr">
        <is>
          <t>미래생명 보유지분율 (검증)</t>
        </is>
      </c>
      <c r="B28" s="62">
        <f>B19/B13</f>
        <v/>
      </c>
      <c r="C28" s="51" t="inlineStr">
        <is>
          <t>원본자료 "보유지분"·"지분율" 23.1317%와 일치 확인용</t>
        </is>
      </c>
    </row>
    <row r="29" ht="17.15" customHeight="1" s="45">
      <c r="A29" s="49" t="inlineStr">
        <is>
          <t>미래생명 SpaceX 보유주식수 (검증)</t>
        </is>
      </c>
      <c r="B29" s="63">
        <f>B16*B18</f>
        <v/>
      </c>
      <c r="C29" s="64" t="inlineStr">
        <is>
          <t>APEX펀드 SpaceX 보유주식수 × 미래생명 지분율. 원본자료 575,111.21주와 일치 확인용</t>
        </is>
      </c>
    </row>
    <row r="30" ht="17.15" customHeight="1" s="45">
      <c r="A30" s="55" t="inlineStr">
        <is>
          <t>Apex펀드 SpaceX 포지션 내재가치 (USD, 검증)</t>
        </is>
      </c>
      <c r="B30" s="65">
        <f>B16*B15</f>
        <v/>
      </c>
      <c r="C30" s="51" t="inlineStr">
        <is>
          <t>보유주식수 × 6/30가격. 해외수익증권 USD 428,188,740과의 차이는 가격 산정 시점·소스 차이 등에 기인 (하단 유의사항 참고)</t>
        </is>
      </c>
    </row>
    <row r="32" ht="15" customHeight="1" s="45">
      <c r="A32" s="59" t="inlineStr">
        <is>
          <t>※ 주요 가정 및 유의사항</t>
        </is>
      </c>
    </row>
    <row r="33" ht="14.15" customHeight="1" s="45">
      <c r="A33" s="47" t="inlineStr">
        <is>
          <t>1) "미래생명 평가손익"(33,063,984,730원)은 원본자료 Section2(미래생명 기준 APEX펀드 보유현황)의 공식 수치로, 펀드 전체 NAV/기준가(1266.148) 방식으로 산출된</t>
        </is>
      </c>
    </row>
    <row r="34" ht="14.15" customHeight="1" s="45">
      <c r="A34" s="66" t="inlineStr">
        <is>
          <t xml:space="preserve">   확정 손익입니다. 취득금액은 보유좌수×1원(좌당 액면), 평가금액은 보유좌수×기준가/1000 으로 계산되며 예금·외화예치금·기타자산·부채(운용보수 등)</t>
        </is>
      </c>
    </row>
    <row r="35" ht="14.15" customHeight="1" s="45">
      <c r="A35" s="66" t="inlineStr">
        <is>
          <t xml:space="preserve">   효과가 모두 반영된 펀드 전체 관점의 수치입니다.</t>
        </is>
      </c>
    </row>
    <row r="36" ht="14.15" customHeight="1" s="45">
      <c r="A36" s="47" t="inlineStr">
        <is>
          <t>2) Apex Fund. Ltd.의 SpaceX 보유주식수(2,486,250주) × 6/30가격($170.86) = $424,800,675로, 원본자료 해외수익증권 평가금액(USD 428,188,740)과 약</t>
        </is>
      </c>
    </row>
    <row r="37" ht="14.15" customHeight="1" s="45">
      <c r="A37" s="47" t="inlineStr">
        <is>
          <t xml:space="preserve">   $3.39백만(0.8%) 차이가 있습니다. 두 수치 모두 원본자료에 직접 명시된 값으로, 밸류에이션 소스/시점 차이(예: 종가 vs 정산가) 등에 기인한 것으로 추정됩니다.</t>
        </is>
      </c>
    </row>
    <row r="38" ht="14.15" customHeight="1" s="45">
      <c r="A38" s="47" t="inlineStr">
        <is>
          <t>3) 이에 따라 "SpaceX Look-through 손익분석" 시트는 주식수×가격 방식(2,486,250주/575,111.21주 기준)의 SpaceX 고유 손익을 별도로 산출하며,</t>
        </is>
      </c>
    </row>
    <row r="39" ht="14.15" customHeight="1" s="45">
      <c r="A39" s="47" t="inlineStr">
        <is>
          <t xml:space="preserve">   "공식 미래생명 손익"(NAV 기준)과는 정확히 일치하지 않을 수 있습니다. "요약" 시트에서 두 수치의 차이를 기타요인효과로 명시적으로 조정(재구성)합니다.</t>
        </is>
      </c>
    </row>
    <row r="40" ht="14.15" customHeight="1" s="45">
      <c r="A40" s="47" t="inlineStr">
        <is>
          <t>4) 시나리오 분석의 KRW 환산은 별도 표기가 없는 한 평가기준일 환율(1,549.4원/USD) 고정, 취득원가의 원화 환산은 취득시점 환율(1,519.8원/USD) 사용.</t>
        </is>
      </c>
    </row>
  </sheetData>
  <mergeCells count="11">
    <mergeCell ref="A36:C36"/>
    <mergeCell ref="A33:C33"/>
    <mergeCell ref="A1:C1"/>
    <mergeCell ref="A37:C37"/>
    <mergeCell ref="A32:C32"/>
    <mergeCell ref="A40:C40"/>
    <mergeCell ref="A24:C24"/>
    <mergeCell ref="A39:C39"/>
    <mergeCell ref="A34:C34"/>
    <mergeCell ref="A35:C35"/>
    <mergeCell ref="A38:C3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44" min="1" max="1"/>
    <col width="24" customWidth="1" style="44" min="2" max="2"/>
    <col width="46" customWidth="1" style="44" min="3" max="3"/>
  </cols>
  <sheetData>
    <row r="1" ht="21.6" customHeight="1" s="45">
      <c r="A1" s="67" t="inlineStr">
        <is>
          <t>미래생명 공식 손익분석 (APEX 펀드 NAV·기준가 기준)</t>
        </is>
      </c>
    </row>
    <row r="2" ht="15" customHeight="1" s="45">
      <c r="A2" s="66" t="inlineStr">
        <is>
          <t>원본자료 Section2 방식 그대로 수식화. 펀드 전체 NAV(예금·외화예치금·해외수익증권·기타자산-부채)를 반영한 공식 확정 손익입니다.</t>
        </is>
      </c>
    </row>
    <row r="4" ht="17.15" customHeight="1" s="45">
      <c r="A4" s="48" t="inlineStr">
        <is>
          <t>구분</t>
        </is>
      </c>
      <c r="B4" s="48" t="inlineStr">
        <is>
          <t>값 (KRW)</t>
        </is>
      </c>
      <c r="C4" s="48" t="inlineStr">
        <is>
          <t>비고</t>
        </is>
      </c>
    </row>
    <row r="5" ht="15" customHeight="1" s="45">
      <c r="A5" s="49" t="inlineStr">
        <is>
          <t>미래생명 보유좌수</t>
        </is>
      </c>
      <c r="B5" s="68">
        <f>기초가정!$B$19</f>
        <v/>
      </c>
      <c r="C5" s="51" t="inlineStr">
        <is>
          <t>원본자료 "보유좌수" 124,231,573,148 (기초가정 시트 링크)</t>
        </is>
      </c>
    </row>
    <row r="6" ht="17.15" customHeight="1" s="45">
      <c r="A6" s="49" t="inlineStr">
        <is>
          <t>좌당 액면가 (원)</t>
        </is>
      </c>
      <c r="B6" s="69" t="n">
        <v>1</v>
      </c>
      <c r="C6" s="51" t="inlineStr">
        <is>
          <t>펀드 최초 설정시 좌당 액면가 1원 가정 (취득금액=보유좌수와 일치하는 것에서 역산)</t>
        </is>
      </c>
    </row>
    <row r="7" ht="15" customHeight="1" s="45">
      <c r="A7" s="49" t="inlineStr">
        <is>
          <t>취득금액</t>
        </is>
      </c>
      <c r="B7" s="60">
        <f>B5*B6</f>
        <v/>
      </c>
      <c r="C7" s="51" t="inlineStr">
        <is>
          <t>보유좌수 × 좌당 액면. 원본자료 "취득금액" 124,231,573,148원과 일치</t>
        </is>
      </c>
    </row>
    <row r="8" ht="17.15" customHeight="1" s="45">
      <c r="A8" s="55" t="inlineStr">
        <is>
          <t>6/30 기준가 (천좌당, 원)</t>
        </is>
      </c>
      <c r="B8" s="70">
        <f>기초가정!$B$27</f>
        <v/>
      </c>
      <c r="C8" s="51" t="inlineStr">
        <is>
          <t>기초가정 시트 "천좌당 기준가(검증)" 링크. 원본자료 "6월 30일 기준가" 1266.148과 일치</t>
        </is>
      </c>
    </row>
    <row r="9" ht="15" customHeight="1" s="45">
      <c r="A9" s="49" t="inlineStr">
        <is>
          <t>평가금액</t>
        </is>
      </c>
      <c r="B9" s="60">
        <f>B5*B8/1000</f>
        <v/>
      </c>
      <c r="C9" s="51" t="inlineStr">
        <is>
          <t>보유좌수 × 기준가 ÷ 1000. 원본자료 "평가금액" 157,295,557,878원과 일치</t>
        </is>
      </c>
    </row>
    <row r="10" ht="15" customHeight="1" s="45">
      <c r="A10" s="71" t="inlineStr">
        <is>
          <t>평가손익</t>
        </is>
      </c>
      <c r="B10" s="72">
        <f>B9-B7</f>
        <v/>
      </c>
      <c r="C10" s="51" t="inlineStr">
        <is>
          <t>평가금액 - 취득금액. 원본자료 "평가손익" 33,063,984,730원과 일치 (미래생명 공식 확정 손익)</t>
        </is>
      </c>
    </row>
    <row r="11" ht="15" customHeight="1" s="45">
      <c r="A11" s="71" t="inlineStr">
        <is>
          <t>수익률</t>
        </is>
      </c>
      <c r="B11" s="73">
        <f>B10/B7</f>
        <v/>
      </c>
      <c r="C11" s="51" t="inlineStr">
        <is>
          <t>평가손익 ÷ 취득금액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44" min="1" max="1"/>
    <col width="12" customWidth="1" style="44" min="2" max="3"/>
    <col width="15" customWidth="1" style="44" min="4" max="4"/>
    <col width="17" customWidth="1" style="44" min="5" max="5"/>
    <col width="15" customWidth="1" style="44" min="6" max="6"/>
    <col width="17" customWidth="1" style="44" min="7" max="7"/>
    <col width="11" customWidth="1" style="44" min="8" max="9"/>
    <col width="16" customWidth="1" style="44" min="10" max="11"/>
  </cols>
  <sheetData>
    <row r="1" ht="21.6" customHeight="1" s="45">
      <c r="A1" s="67" t="inlineStr">
        <is>
          <t>미래생명 SpaceX Look-through 손익분석 (원본자료 실제 보유주식수 575,111.21주 기준)</t>
        </is>
      </c>
    </row>
    <row r="2" ht="15" customHeight="1" s="45">
      <c r="A2" s="66" t="inlineStr">
        <is>
          <t>미래생명 SpaceX 보유주식수(원본자료 확정치) × SpaceX 주가로 산출. KRW 환산은 평가기준일 환율(1,549.4원) 고정. 취득원가는 취득환율(1,519.8원) 적용.</t>
        </is>
      </c>
    </row>
    <row r="4" ht="15" customHeight="1" s="45">
      <c r="A4" s="59" t="inlineStr">
        <is>
          <t>① 실제 주가 추이 기준 분석</t>
        </is>
      </c>
    </row>
    <row r="5" ht="42.5" customHeight="1" s="45">
      <c r="A5" s="48" t="inlineStr">
        <is>
          <t>구분</t>
        </is>
      </c>
      <c r="B5" s="74" t="inlineStr">
        <is>
          <t>SpaceX 주가
(USD)</t>
        </is>
      </c>
      <c r="C5" s="48" t="inlineStr">
        <is>
          <t>공모가 대비
등락률</t>
        </is>
      </c>
      <c r="D5" s="48" t="inlineStr">
        <is>
          <t>평가금액
(USD)</t>
        </is>
      </c>
      <c r="E5" s="48" t="inlineStr">
        <is>
          <t>평가금액
(KRW)</t>
        </is>
      </c>
      <c r="F5" s="48" t="inlineStr">
        <is>
          <t>평가손익
(USD)</t>
        </is>
      </c>
      <c r="G5" s="48" t="inlineStr">
        <is>
          <t>평가손익
(KRW)</t>
        </is>
      </c>
      <c r="H5" s="48" t="inlineStr">
        <is>
          <t>수익률
(USD)</t>
        </is>
      </c>
      <c r="I5" s="48" t="inlineStr">
        <is>
          <t>수익률
(KRW)</t>
        </is>
      </c>
      <c r="J5" s="48" t="inlineStr">
        <is>
          <t>주가상승효과
(KRW)</t>
        </is>
      </c>
      <c r="K5" s="48" t="inlineStr">
        <is>
          <t>외화환산손익
(KRW)</t>
        </is>
      </c>
    </row>
    <row r="6" ht="17.15" customHeight="1" s="45">
      <c r="A6" s="49" t="inlineStr">
        <is>
          <t>공모가 (IPO, 2026-06-12)</t>
        </is>
      </c>
      <c r="B6" s="75" t="n">
        <v>135</v>
      </c>
      <c r="C6" s="62">
        <f>B6/기초가정!$B$14-1</f>
        <v/>
      </c>
      <c r="D6" s="65">
        <f>B6*기초가정!$B$17</f>
        <v/>
      </c>
      <c r="E6" s="60">
        <f>D6*기초가정!$B$7</f>
        <v/>
      </c>
      <c r="F6" s="65">
        <f>D6-(기초가정!$B$17*기초가정!$B$14)</f>
        <v/>
      </c>
      <c r="G6" s="60">
        <f>E6-((기초가정!$B$17*기초가정!$B$14)*기초가정!$B$6)</f>
        <v/>
      </c>
      <c r="H6" s="62">
        <f>F6/(기초가정!$B$17*기초가정!$B$14)</f>
        <v/>
      </c>
      <c r="I6" s="62">
        <f>G6/((기초가정!$B$17*기초가정!$B$14)*기초가정!$B$6)</f>
        <v/>
      </c>
      <c r="J6" s="60">
        <f>(D6-(기초가정!$B$17*기초가정!$B$14))*기초가정!$B$6</f>
        <v/>
      </c>
      <c r="K6" s="60">
        <f>D6*(기초가정!$B$7-기초가정!$B$6)</f>
        <v/>
      </c>
    </row>
    <row r="7" ht="17.15" customHeight="1" s="45">
      <c r="A7" s="49" t="inlineStr">
        <is>
          <t>상장일 종가 (2026-06-12)</t>
        </is>
      </c>
      <c r="B7" s="75" t="n">
        <v>160.95</v>
      </c>
      <c r="C7" s="62">
        <f>B7/기초가정!$B$14-1</f>
        <v/>
      </c>
      <c r="D7" s="65">
        <f>B7*기초가정!$B$17</f>
        <v/>
      </c>
      <c r="E7" s="60">
        <f>D7*기초가정!$B$7</f>
        <v/>
      </c>
      <c r="F7" s="65">
        <f>D7-(기초가정!$B$17*기초가정!$B$14)</f>
        <v/>
      </c>
      <c r="G7" s="60">
        <f>E7-((기초가정!$B$17*기초가정!$B$14)*기초가정!$B$6)</f>
        <v/>
      </c>
      <c r="H7" s="62">
        <f>F7/(기초가정!$B$17*기초가정!$B$14)</f>
        <v/>
      </c>
      <c r="I7" s="62">
        <f>G7/((기초가정!$B$17*기초가정!$B$14)*기초가정!$B$6)</f>
        <v/>
      </c>
      <c r="J7" s="60">
        <f>(D7-(기초가정!$B$17*기초가정!$B$14))*기초가정!$B$6</f>
        <v/>
      </c>
      <c r="K7" s="60">
        <f>D7*(기초가정!$B$7-기초가정!$B$6)</f>
        <v/>
      </c>
    </row>
    <row r="8" ht="17.15" customHeight="1" s="45">
      <c r="A8" s="49" t="inlineStr">
        <is>
          <t>장중 최고가 (2026-06-16)</t>
        </is>
      </c>
      <c r="B8" s="75" t="n">
        <v>225.64</v>
      </c>
      <c r="C8" s="62">
        <f>B8/기초가정!$B$14-1</f>
        <v/>
      </c>
      <c r="D8" s="65">
        <f>B8*기초가정!$B$17</f>
        <v/>
      </c>
      <c r="E8" s="60">
        <f>D8*기초가정!$B$7</f>
        <v/>
      </c>
      <c r="F8" s="65">
        <f>D8-(기초가정!$B$17*기초가정!$B$14)</f>
        <v/>
      </c>
      <c r="G8" s="60">
        <f>E8-((기초가정!$B$17*기초가정!$B$14)*기초가정!$B$6)</f>
        <v/>
      </c>
      <c r="H8" s="62">
        <f>F8/(기초가정!$B$17*기초가정!$B$14)</f>
        <v/>
      </c>
      <c r="I8" s="62">
        <f>G8/((기초가정!$B$17*기초가정!$B$14)*기초가정!$B$6)</f>
        <v/>
      </c>
      <c r="J8" s="60">
        <f>(D8-(기초가정!$B$17*기초가정!$B$14))*기초가정!$B$6</f>
        <v/>
      </c>
      <c r="K8" s="60">
        <f>D8*(기초가정!$B$7-기초가정!$B$6)</f>
        <v/>
      </c>
    </row>
    <row r="9" ht="17.15" customHeight="1" s="45">
      <c r="A9" s="76" t="inlineStr">
        <is>
          <t>결산시점 가격 (2026-06-30, 펀드 기준일)</t>
        </is>
      </c>
      <c r="B9" s="77">
        <f>기초가정!$B$15</f>
        <v/>
      </c>
      <c r="C9" s="78">
        <f>B9/기초가정!$B$14-1</f>
        <v/>
      </c>
      <c r="D9" s="79">
        <f>B9*기초가정!$B$17</f>
        <v/>
      </c>
      <c r="E9" s="80">
        <f>D9*기초가정!$B$7</f>
        <v/>
      </c>
      <c r="F9" s="79">
        <f>D9-(기초가정!$B$17*기초가정!$B$14)</f>
        <v/>
      </c>
      <c r="G9" s="80">
        <f>E9-((기초가정!$B$17*기초가정!$B$14)*기초가정!$B$6)</f>
        <v/>
      </c>
      <c r="H9" s="78">
        <f>F9/(기초가정!$B$17*기초가정!$B$14)</f>
        <v/>
      </c>
      <c r="I9" s="78">
        <f>G9/((기초가정!$B$17*기초가정!$B$14)*기초가정!$B$6)</f>
        <v/>
      </c>
      <c r="J9" s="80">
        <f>(D9-(기초가정!$B$17*기초가정!$B$14))*기초가정!$B$6</f>
        <v/>
      </c>
      <c r="K9" s="80">
        <f>D9*(기초가정!$B$7-기초가정!$B$6)</f>
        <v/>
      </c>
    </row>
    <row r="10" ht="17.15" customHeight="1" s="45">
      <c r="A10" s="49" t="inlineStr">
        <is>
          <t>최근 종가 (2026-07-17, 참고)</t>
        </is>
      </c>
      <c r="B10" s="75" t="n">
        <v>123.99</v>
      </c>
      <c r="C10" s="62">
        <f>B10/기초가정!$B$14-1</f>
        <v/>
      </c>
      <c r="D10" s="65">
        <f>B10*기초가정!$B$17</f>
        <v/>
      </c>
      <c r="E10" s="60">
        <f>D10*기초가정!$B$7</f>
        <v/>
      </c>
      <c r="F10" s="65">
        <f>D10-(기초가정!$B$17*기초가정!$B$14)</f>
        <v/>
      </c>
      <c r="G10" s="60">
        <f>E10-((기초가정!$B$17*기초가정!$B$14)*기초가정!$B$6)</f>
        <v/>
      </c>
      <c r="H10" s="62">
        <f>F10/(기초가정!$B$17*기초가정!$B$14)</f>
        <v/>
      </c>
      <c r="I10" s="62">
        <f>G10/((기초가정!$B$17*기초가정!$B$14)*기초가정!$B$6)</f>
        <v/>
      </c>
      <c r="J10" s="60">
        <f>(D10-(기초가정!$B$17*기초가정!$B$14))*기초가정!$B$6</f>
        <v/>
      </c>
      <c r="K10" s="60">
        <f>D10*(기초가정!$B$7-기초가정!$B$6)</f>
        <v/>
      </c>
    </row>
    <row r="12" ht="15" customHeight="1" s="45">
      <c r="A12" s="66" t="inlineStr">
        <is>
          <t>주가·환율 출처: SpaceX 상장/시세 - CNBC, NPR, stockanalysis.com, MarketBeat (2026.6~7월 보도 및 시세자료)</t>
        </is>
      </c>
    </row>
    <row r="14" ht="17.15" customHeight="1" s="45">
      <c r="A14" s="59" t="inlineStr">
        <is>
          <t>② 가상 시나리오 분석 (공모가 대비 등락률, 환율 1,549.4원 고정)</t>
        </is>
      </c>
    </row>
    <row r="15" ht="42.5" customHeight="1" s="45">
      <c r="A15" s="48" t="inlineStr">
        <is>
          <t>구분</t>
        </is>
      </c>
      <c r="B15" s="74" t="inlineStr">
        <is>
          <t>SpaceX 주가
(USD)</t>
        </is>
      </c>
      <c r="C15" s="48" t="inlineStr">
        <is>
          <t>공모가 대비
등락률</t>
        </is>
      </c>
      <c r="D15" s="48" t="inlineStr">
        <is>
          <t>평가금액
(USD)</t>
        </is>
      </c>
      <c r="E15" s="48" t="inlineStr">
        <is>
          <t>평가금액
(KRW)</t>
        </is>
      </c>
      <c r="F15" s="48" t="inlineStr">
        <is>
          <t>평가손익
(USD)</t>
        </is>
      </c>
      <c r="G15" s="48" t="inlineStr">
        <is>
          <t>평가손익
(KRW)</t>
        </is>
      </c>
      <c r="H15" s="48" t="inlineStr">
        <is>
          <t>수익률
(USD)</t>
        </is>
      </c>
      <c r="I15" s="48" t="inlineStr">
        <is>
          <t>수익률
(KRW)</t>
        </is>
      </c>
      <c r="J15" s="48" t="inlineStr">
        <is>
          <t>주가상승효과
(KRW)</t>
        </is>
      </c>
      <c r="K15" s="48" t="inlineStr">
        <is>
          <t>외화환산손익
(KRW)</t>
        </is>
      </c>
    </row>
    <row r="16" ht="17.15" customHeight="1" s="45">
      <c r="A16" s="49" t="inlineStr">
        <is>
          <t>공모가 대비 -50%</t>
        </is>
      </c>
      <c r="B16" s="75">
        <f>기초가정!$B$14*(1+C16)</f>
        <v/>
      </c>
      <c r="C16" s="62" t="n">
        <v>-0.5</v>
      </c>
      <c r="D16" s="65">
        <f>B16*기초가정!$B$17</f>
        <v/>
      </c>
      <c r="E16" s="60">
        <f>D16*기초가정!$B$7</f>
        <v/>
      </c>
      <c r="F16" s="65">
        <f>D16-(기초가정!$B$17*기초가정!$B$14)</f>
        <v/>
      </c>
      <c r="G16" s="60">
        <f>E16-((기초가정!$B$17*기초가정!$B$14)*기초가정!$B$6)</f>
        <v/>
      </c>
      <c r="H16" s="62">
        <f>F16/(기초가정!$B$17*기초가정!$B$14)</f>
        <v/>
      </c>
      <c r="I16" s="62">
        <f>G16/((기초가정!$B$17*기초가정!$B$14)*기초가정!$B$6)</f>
        <v/>
      </c>
      <c r="J16" s="60">
        <f>(D16-(기초가정!$B$17*기초가정!$B$14))*기초가정!$B$6</f>
        <v/>
      </c>
      <c r="K16" s="60">
        <f>D16*(기초가정!$B$7-기초가정!$B$6)</f>
        <v/>
      </c>
    </row>
    <row r="17" ht="17.15" customHeight="1" s="45">
      <c r="A17" s="49" t="inlineStr">
        <is>
          <t>공모가 대비 -40%</t>
        </is>
      </c>
      <c r="B17" s="75">
        <f>기초가정!$B$14*(1+C17)</f>
        <v/>
      </c>
      <c r="C17" s="62" t="n">
        <v>-0.4</v>
      </c>
      <c r="D17" s="65">
        <f>B17*기초가정!$B$17</f>
        <v/>
      </c>
      <c r="E17" s="60">
        <f>D17*기초가정!$B$7</f>
        <v/>
      </c>
      <c r="F17" s="65">
        <f>D17-(기초가정!$B$17*기초가정!$B$14)</f>
        <v/>
      </c>
      <c r="G17" s="60">
        <f>E17-((기초가정!$B$17*기초가정!$B$14)*기초가정!$B$6)</f>
        <v/>
      </c>
      <c r="H17" s="62">
        <f>F17/(기초가정!$B$17*기초가정!$B$14)</f>
        <v/>
      </c>
      <c r="I17" s="62">
        <f>G17/((기초가정!$B$17*기초가정!$B$14)*기초가정!$B$6)</f>
        <v/>
      </c>
      <c r="J17" s="60">
        <f>(D17-(기초가정!$B$17*기초가정!$B$14))*기초가정!$B$6</f>
        <v/>
      </c>
      <c r="K17" s="60">
        <f>D17*(기초가정!$B$7-기초가정!$B$6)</f>
        <v/>
      </c>
    </row>
    <row r="18" ht="17.15" customHeight="1" s="45">
      <c r="A18" s="49" t="inlineStr">
        <is>
          <t>공모가 대비 -30%</t>
        </is>
      </c>
      <c r="B18" s="75">
        <f>기초가정!$B$14*(1+C18)</f>
        <v/>
      </c>
      <c r="C18" s="62" t="n">
        <v>-0.3</v>
      </c>
      <c r="D18" s="65">
        <f>B18*기초가정!$B$17</f>
        <v/>
      </c>
      <c r="E18" s="60">
        <f>D18*기초가정!$B$7</f>
        <v/>
      </c>
      <c r="F18" s="65">
        <f>D18-(기초가정!$B$17*기초가정!$B$14)</f>
        <v/>
      </c>
      <c r="G18" s="60">
        <f>E18-((기초가정!$B$17*기초가정!$B$14)*기초가정!$B$6)</f>
        <v/>
      </c>
      <c r="H18" s="62">
        <f>F18/(기초가정!$B$17*기초가정!$B$14)</f>
        <v/>
      </c>
      <c r="I18" s="62">
        <f>G18/((기초가정!$B$17*기초가정!$B$14)*기초가정!$B$6)</f>
        <v/>
      </c>
      <c r="J18" s="60">
        <f>(D18-(기초가정!$B$17*기초가정!$B$14))*기초가정!$B$6</f>
        <v/>
      </c>
      <c r="K18" s="60">
        <f>D18*(기초가정!$B$7-기초가정!$B$6)</f>
        <v/>
      </c>
    </row>
    <row r="19" ht="17.15" customHeight="1" s="45">
      <c r="A19" s="49" t="inlineStr">
        <is>
          <t>공모가 대비 -20%</t>
        </is>
      </c>
      <c r="B19" s="75">
        <f>기초가정!$B$14*(1+C19)</f>
        <v/>
      </c>
      <c r="C19" s="62" t="n">
        <v>-0.2</v>
      </c>
      <c r="D19" s="65">
        <f>B19*기초가정!$B$17</f>
        <v/>
      </c>
      <c r="E19" s="60">
        <f>D19*기초가정!$B$7</f>
        <v/>
      </c>
      <c r="F19" s="65">
        <f>D19-(기초가정!$B$17*기초가정!$B$14)</f>
        <v/>
      </c>
      <c r="G19" s="60">
        <f>E19-((기초가정!$B$17*기초가정!$B$14)*기초가정!$B$6)</f>
        <v/>
      </c>
      <c r="H19" s="62">
        <f>F19/(기초가정!$B$17*기초가정!$B$14)</f>
        <v/>
      </c>
      <c r="I19" s="62">
        <f>G19/((기초가정!$B$17*기초가정!$B$14)*기초가정!$B$6)</f>
        <v/>
      </c>
      <c r="J19" s="60">
        <f>(D19-(기초가정!$B$17*기초가정!$B$14))*기초가정!$B$6</f>
        <v/>
      </c>
      <c r="K19" s="60">
        <f>D19*(기초가정!$B$7-기초가정!$B$6)</f>
        <v/>
      </c>
    </row>
    <row r="20" ht="17.15" customHeight="1" s="45">
      <c r="A20" s="49" t="inlineStr">
        <is>
          <t>공모가 대비 -10%</t>
        </is>
      </c>
      <c r="B20" s="75">
        <f>기초가정!$B$14*(1+C20)</f>
        <v/>
      </c>
      <c r="C20" s="62" t="n">
        <v>-0.1</v>
      </c>
      <c r="D20" s="65">
        <f>B20*기초가정!$B$17</f>
        <v/>
      </c>
      <c r="E20" s="60">
        <f>D20*기초가정!$B$7</f>
        <v/>
      </c>
      <c r="F20" s="65">
        <f>D20-(기초가정!$B$17*기초가정!$B$14)</f>
        <v/>
      </c>
      <c r="G20" s="60">
        <f>E20-((기초가정!$B$17*기초가정!$B$14)*기초가정!$B$6)</f>
        <v/>
      </c>
      <c r="H20" s="62">
        <f>F20/(기초가정!$B$17*기초가정!$B$14)</f>
        <v/>
      </c>
      <c r="I20" s="62">
        <f>G20/((기초가정!$B$17*기초가정!$B$14)*기초가정!$B$6)</f>
        <v/>
      </c>
      <c r="J20" s="60">
        <f>(D20-(기초가정!$B$17*기초가정!$B$14))*기초가정!$B$6</f>
        <v/>
      </c>
      <c r="K20" s="60">
        <f>D20*(기초가정!$B$7-기초가정!$B$6)</f>
        <v/>
      </c>
    </row>
    <row r="21" ht="17.15" customHeight="1" s="45">
      <c r="A21" s="49" t="inlineStr">
        <is>
          <t>공모가 (기준)</t>
        </is>
      </c>
      <c r="B21" s="75">
        <f>기초가정!$B$14*(1+C21)</f>
        <v/>
      </c>
      <c r="C21" s="62" t="n">
        <v>0</v>
      </c>
      <c r="D21" s="65">
        <f>B21*기초가정!$B$17</f>
        <v/>
      </c>
      <c r="E21" s="60">
        <f>D21*기초가정!$B$7</f>
        <v/>
      </c>
      <c r="F21" s="65">
        <f>D21-(기초가정!$B$17*기초가정!$B$14)</f>
        <v/>
      </c>
      <c r="G21" s="60">
        <f>E21-((기초가정!$B$17*기초가정!$B$14)*기초가정!$B$6)</f>
        <v/>
      </c>
      <c r="H21" s="62">
        <f>F21/(기초가정!$B$17*기초가정!$B$14)</f>
        <v/>
      </c>
      <c r="I21" s="62">
        <f>G21/((기초가정!$B$17*기초가정!$B$14)*기초가정!$B$6)</f>
        <v/>
      </c>
      <c r="J21" s="60">
        <f>(D21-(기초가정!$B$17*기초가정!$B$14))*기초가정!$B$6</f>
        <v/>
      </c>
      <c r="K21" s="60">
        <f>D21*(기초가정!$B$7-기초가정!$B$6)</f>
        <v/>
      </c>
    </row>
    <row r="22" ht="17.15" customHeight="1" s="45">
      <c r="A22" s="49" t="inlineStr">
        <is>
          <t>공모가 대비 +10%</t>
        </is>
      </c>
      <c r="B22" s="75">
        <f>기초가정!$B$14*(1+C22)</f>
        <v/>
      </c>
      <c r="C22" s="62" t="n">
        <v>0.1</v>
      </c>
      <c r="D22" s="65">
        <f>B22*기초가정!$B$17</f>
        <v/>
      </c>
      <c r="E22" s="60">
        <f>D22*기초가정!$B$7</f>
        <v/>
      </c>
      <c r="F22" s="65">
        <f>D22-(기초가정!$B$17*기초가정!$B$14)</f>
        <v/>
      </c>
      <c r="G22" s="60">
        <f>E22-((기초가정!$B$17*기초가정!$B$14)*기초가정!$B$6)</f>
        <v/>
      </c>
      <c r="H22" s="62">
        <f>F22/(기초가정!$B$17*기초가정!$B$14)</f>
        <v/>
      </c>
      <c r="I22" s="62">
        <f>G22/((기초가정!$B$17*기초가정!$B$14)*기초가정!$B$6)</f>
        <v/>
      </c>
      <c r="J22" s="60">
        <f>(D22-(기초가정!$B$17*기초가정!$B$14))*기초가정!$B$6</f>
        <v/>
      </c>
      <c r="K22" s="60">
        <f>D22*(기초가정!$B$7-기초가정!$B$6)</f>
        <v/>
      </c>
    </row>
    <row r="23" ht="17.15" customHeight="1" s="45">
      <c r="A23" s="49" t="inlineStr">
        <is>
          <t>공모가 대비 +20%</t>
        </is>
      </c>
      <c r="B23" s="75">
        <f>기초가정!$B$14*(1+C23)</f>
        <v/>
      </c>
      <c r="C23" s="62" t="n">
        <v>0.2</v>
      </c>
      <c r="D23" s="65">
        <f>B23*기초가정!$B$17</f>
        <v/>
      </c>
      <c r="E23" s="60">
        <f>D23*기초가정!$B$7</f>
        <v/>
      </c>
      <c r="F23" s="65">
        <f>D23-(기초가정!$B$17*기초가정!$B$14)</f>
        <v/>
      </c>
      <c r="G23" s="60">
        <f>E23-((기초가정!$B$17*기초가정!$B$14)*기초가정!$B$6)</f>
        <v/>
      </c>
      <c r="H23" s="62">
        <f>F23/(기초가정!$B$17*기초가정!$B$14)</f>
        <v/>
      </c>
      <c r="I23" s="62">
        <f>G23/((기초가정!$B$17*기초가정!$B$14)*기초가정!$B$6)</f>
        <v/>
      </c>
      <c r="J23" s="60">
        <f>(D23-(기초가정!$B$17*기초가정!$B$14))*기초가정!$B$6</f>
        <v/>
      </c>
      <c r="K23" s="60">
        <f>D23*(기초가정!$B$7-기초가정!$B$6)</f>
        <v/>
      </c>
    </row>
    <row r="24" ht="17.15" customHeight="1" s="45">
      <c r="A24" s="49" t="inlineStr">
        <is>
          <t>공모가 대비 +30%</t>
        </is>
      </c>
      <c r="B24" s="75">
        <f>기초가정!$B$14*(1+C24)</f>
        <v/>
      </c>
      <c r="C24" s="62" t="n">
        <v>0.3</v>
      </c>
      <c r="D24" s="65">
        <f>B24*기초가정!$B$17</f>
        <v/>
      </c>
      <c r="E24" s="60">
        <f>D24*기초가정!$B$7</f>
        <v/>
      </c>
      <c r="F24" s="65">
        <f>D24-(기초가정!$B$17*기초가정!$B$14)</f>
        <v/>
      </c>
      <c r="G24" s="60">
        <f>E24-((기초가정!$B$17*기초가정!$B$14)*기초가정!$B$6)</f>
        <v/>
      </c>
      <c r="H24" s="62">
        <f>F24/(기초가정!$B$17*기초가정!$B$14)</f>
        <v/>
      </c>
      <c r="I24" s="62">
        <f>G24/((기초가정!$B$17*기초가정!$B$14)*기초가정!$B$6)</f>
        <v/>
      </c>
      <c r="J24" s="60">
        <f>(D24-(기초가정!$B$17*기초가정!$B$14))*기초가정!$B$6</f>
        <v/>
      </c>
      <c r="K24" s="60">
        <f>D24*(기초가정!$B$7-기초가정!$B$6)</f>
        <v/>
      </c>
    </row>
    <row r="25" ht="17.15" customHeight="1" s="45">
      <c r="A25" s="49" t="inlineStr">
        <is>
          <t>공모가 대비 +40%</t>
        </is>
      </c>
      <c r="B25" s="75">
        <f>기초가정!$B$14*(1+C25)</f>
        <v/>
      </c>
      <c r="C25" s="62" t="n">
        <v>0.4</v>
      </c>
      <c r="D25" s="65">
        <f>B25*기초가정!$B$17</f>
        <v/>
      </c>
      <c r="E25" s="60">
        <f>D25*기초가정!$B$7</f>
        <v/>
      </c>
      <c r="F25" s="65">
        <f>D25-(기초가정!$B$17*기초가정!$B$14)</f>
        <v/>
      </c>
      <c r="G25" s="60">
        <f>E25-((기초가정!$B$17*기초가정!$B$14)*기초가정!$B$6)</f>
        <v/>
      </c>
      <c r="H25" s="62">
        <f>F25/(기초가정!$B$17*기초가정!$B$14)</f>
        <v/>
      </c>
      <c r="I25" s="62">
        <f>G25/((기초가정!$B$17*기초가정!$B$14)*기초가정!$B$6)</f>
        <v/>
      </c>
      <c r="J25" s="60">
        <f>(D25-(기초가정!$B$17*기초가정!$B$14))*기초가정!$B$6</f>
        <v/>
      </c>
      <c r="K25" s="60">
        <f>D25*(기초가정!$B$7-기초가정!$B$6)</f>
        <v/>
      </c>
    </row>
    <row r="26" ht="17.15" customHeight="1" s="45">
      <c r="A26" s="49" t="inlineStr">
        <is>
          <t>공모가 대비 +50%</t>
        </is>
      </c>
      <c r="B26" s="75">
        <f>기초가정!$B$14*(1+C26)</f>
        <v/>
      </c>
      <c r="C26" s="62" t="n">
        <v>0.5</v>
      </c>
      <c r="D26" s="65">
        <f>B26*기초가정!$B$17</f>
        <v/>
      </c>
      <c r="E26" s="60">
        <f>D26*기초가정!$B$7</f>
        <v/>
      </c>
      <c r="F26" s="65">
        <f>D26-(기초가정!$B$17*기초가정!$B$14)</f>
        <v/>
      </c>
      <c r="G26" s="60">
        <f>E26-((기초가정!$B$17*기초가정!$B$14)*기초가정!$B$6)</f>
        <v/>
      </c>
      <c r="H26" s="62">
        <f>F26/(기초가정!$B$17*기초가정!$B$14)</f>
        <v/>
      </c>
      <c r="I26" s="62">
        <f>G26/((기초가정!$B$17*기초가정!$B$14)*기초가정!$B$6)</f>
        <v/>
      </c>
      <c r="J26" s="60">
        <f>(D26-(기초가정!$B$17*기초가정!$B$14))*기초가정!$B$6</f>
        <v/>
      </c>
      <c r="K26" s="60">
        <f>D26*(기초가정!$B$7-기초가정!$B$6)</f>
        <v/>
      </c>
    </row>
    <row r="27" ht="17.15" customHeight="1" s="45">
      <c r="A27" s="49" t="inlineStr">
        <is>
          <t>공모가 대비 +75%</t>
        </is>
      </c>
      <c r="B27" s="75">
        <f>기초가정!$B$14*(1+C27)</f>
        <v/>
      </c>
      <c r="C27" s="62" t="n">
        <v>0.75</v>
      </c>
      <c r="D27" s="65">
        <f>B27*기초가정!$B$17</f>
        <v/>
      </c>
      <c r="E27" s="60">
        <f>D27*기초가정!$B$7</f>
        <v/>
      </c>
      <c r="F27" s="65">
        <f>D27-(기초가정!$B$17*기초가정!$B$14)</f>
        <v/>
      </c>
      <c r="G27" s="60">
        <f>E27-((기초가정!$B$17*기초가정!$B$14)*기초가정!$B$6)</f>
        <v/>
      </c>
      <c r="H27" s="62">
        <f>F27/(기초가정!$B$17*기초가정!$B$14)</f>
        <v/>
      </c>
      <c r="I27" s="62">
        <f>G27/((기초가정!$B$17*기초가정!$B$14)*기초가정!$B$6)</f>
        <v/>
      </c>
      <c r="J27" s="60">
        <f>(D27-(기초가정!$B$17*기초가정!$B$14))*기초가정!$B$6</f>
        <v/>
      </c>
      <c r="K27" s="60">
        <f>D27*(기초가정!$B$7-기초가정!$B$6)</f>
        <v/>
      </c>
    </row>
    <row r="28" ht="17.15" customHeight="1" s="45">
      <c r="A28" s="49" t="inlineStr">
        <is>
          <t>공모가 대비 +100%</t>
        </is>
      </c>
      <c r="B28" s="75">
        <f>기초가정!$B$14*(1+C28)</f>
        <v/>
      </c>
      <c r="C28" s="62" t="n">
        <v>1</v>
      </c>
      <c r="D28" s="65">
        <f>B28*기초가정!$B$17</f>
        <v/>
      </c>
      <c r="E28" s="60">
        <f>D28*기초가정!$B$7</f>
        <v/>
      </c>
      <c r="F28" s="65">
        <f>D28-(기초가정!$B$17*기초가정!$B$14)</f>
        <v/>
      </c>
      <c r="G28" s="60">
        <f>E28-((기초가정!$B$17*기초가정!$B$14)*기초가정!$B$6)</f>
        <v/>
      </c>
      <c r="H28" s="62">
        <f>F28/(기초가정!$B$17*기초가정!$B$14)</f>
        <v/>
      </c>
      <c r="I28" s="62">
        <f>G28/((기초가정!$B$17*기초가정!$B$14)*기초가정!$B$6)</f>
        <v/>
      </c>
      <c r="J28" s="60">
        <f>(D28-(기초가정!$B$17*기초가정!$B$14))*기초가정!$B$6</f>
        <v/>
      </c>
      <c r="K28" s="60">
        <f>D28*(기초가정!$B$7-기초가정!$B$6)</f>
        <v/>
      </c>
    </row>
    <row r="30" ht="14.15" customHeight="1" s="45">
      <c r="A30" s="66" t="inlineStr">
        <is>
          <t>※ 평가손익(KRW) = 주가상승효과(KRW) + 외화환산손익(KRW). 주가상승효과=(평가금액USD-투자원가USD)×취득환율(고정), 외화환산손익=평가금액USD×(평가환율-취득환율).</t>
        </is>
      </c>
    </row>
  </sheetData>
  <mergeCells count="4">
    <mergeCell ref="A14:K14"/>
    <mergeCell ref="A4:K4"/>
    <mergeCell ref="A1:K1"/>
    <mergeCell ref="A30:K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4" min="1" max="1"/>
    <col width="22" customWidth="1" style="44" min="2" max="2"/>
    <col width="4" customWidth="1" style="44" min="3" max="3"/>
    <col width="22" customWidth="1" style="44" min="4" max="4"/>
    <col width="10" customWidth="1" style="44" min="5" max="5"/>
  </cols>
  <sheetData>
    <row r="1" ht="21.6" customHeight="1" s="45">
      <c r="A1" s="67" t="inlineStr">
        <is>
          <t>미래생명 - APEX 펀드(SpaceX) 손익 요약 (2026.6.30 기준)</t>
        </is>
      </c>
    </row>
    <row r="2" ht="15" customHeight="1" s="45">
      <c r="A2" s="47" t="inlineStr">
        <is>
          <t>'기초가정' / '미래생명_공식손익(NAV기준)' / 'SpaceX_Lookthrough_손익분석' 시트를 연동한 요약입니다.</t>
        </is>
      </c>
    </row>
    <row r="4" ht="17.15" customHeight="1" s="45">
      <c r="A4" s="59" t="inlineStr">
        <is>
          <t>① 공식 손익 개요 (NAV·기준가 기준, 미래생명 확정 손익)</t>
        </is>
      </c>
    </row>
    <row r="5" ht="17.15" customHeight="1" s="45">
      <c r="A5" s="48" t="inlineStr">
        <is>
          <t>구분</t>
        </is>
      </c>
      <c r="B5" s="48" t="inlineStr">
        <is>
          <t>값 (KRW)</t>
        </is>
      </c>
    </row>
    <row r="6" ht="15" customHeight="1" s="45">
      <c r="A6" s="81" t="inlineStr">
        <is>
          <t>취득금액</t>
        </is>
      </c>
      <c r="B6" s="82">
        <f>'미래생명_공식손익(NAV기준)'!B7</f>
        <v/>
      </c>
    </row>
    <row r="7" ht="15" customHeight="1" s="45">
      <c r="A7" s="81" t="inlineStr">
        <is>
          <t>평가금액</t>
        </is>
      </c>
      <c r="B7" s="82">
        <f>'미래생명_공식손익(NAV기준)'!B9</f>
        <v/>
      </c>
    </row>
    <row r="8" ht="15" customHeight="1" s="45">
      <c r="A8" s="81" t="inlineStr">
        <is>
          <t>평가손익</t>
        </is>
      </c>
      <c r="B8" s="82">
        <f>'미래생명_공식손익(NAV기준)'!B10</f>
        <v/>
      </c>
    </row>
    <row r="9" ht="15" customHeight="1" s="45">
      <c r="A9" s="81" t="inlineStr">
        <is>
          <t>수익률</t>
        </is>
      </c>
      <c r="B9" s="83">
        <f>'미래생명_공식손익(NAV기준)'!B11</f>
        <v/>
      </c>
    </row>
    <row r="11" ht="17.15" customHeight="1" s="45">
      <c r="A11" s="59" t="inlineStr">
        <is>
          <t>② 공식 평가손익의 3단 요인 분해</t>
        </is>
      </c>
    </row>
    <row r="12" ht="17.15" customHeight="1" s="45">
      <c r="A12" s="48" t="inlineStr">
        <is>
          <t>구분</t>
        </is>
      </c>
      <c r="B12" s="84" t="inlineStr">
        <is>
          <t>금액 (KRW)</t>
        </is>
      </c>
      <c r="C12" s="48" t="n"/>
      <c r="D12" s="48" t="inlineStr">
        <is>
          <t>비중</t>
        </is>
      </c>
    </row>
    <row r="13" ht="17.15" customHeight="1" s="45">
      <c r="A13" s="81" t="inlineStr">
        <is>
          <t>공식 평가손익 (전체)</t>
        </is>
      </c>
      <c r="B13" s="82">
        <f>'미래생명_공식손익(NAV기준)'!B10</f>
        <v/>
      </c>
    </row>
    <row r="14" ht="17.15" customHeight="1" s="45">
      <c r="A14" s="49" t="inlineStr">
        <is>
          <t xml:space="preserve">  ├ 주가상승효과 (SpaceX 가격변동)</t>
        </is>
      </c>
      <c r="B14" s="82">
        <f>SpaceX_Lookthrough_손익분석!J9</f>
        <v/>
      </c>
      <c r="D14" s="62">
        <f>B14/B13</f>
        <v/>
      </c>
    </row>
    <row r="15" ht="17.15" customHeight="1" s="45">
      <c r="A15" s="49" t="inlineStr">
        <is>
          <t xml:space="preserve">  ├ 외화환산손익 (원/달러 환율변동)</t>
        </is>
      </c>
      <c r="B15" s="82">
        <f>SpaceX_Lookthrough_손익분석!K9</f>
        <v/>
      </c>
      <c r="D15" s="62">
        <f>B15/B13</f>
        <v/>
      </c>
    </row>
    <row r="16" ht="17.15" customHeight="1" s="45">
      <c r="A16" s="49" t="inlineStr">
        <is>
          <t xml:space="preserve">  └ 기타요인효과 (운용보수·현금성자산 등, 잔차)</t>
        </is>
      </c>
      <c r="B16" s="85">
        <f>B13-B14-B15</f>
        <v/>
      </c>
      <c r="D16" s="62">
        <f>B16/B13</f>
        <v/>
      </c>
    </row>
    <row r="18" ht="15" customHeight="1" s="45">
      <c r="A18" s="86" t="inlineStr">
        <is>
          <t>주가상승효과·외화환산손익은 'SpaceX_Lookthrough_손익분석' 시트의 실제 보유주식수(575,111.21주, 원본자료 확정치) 기준 SpaceX 고유 손익을 주가효과=(평가금액USD-투자원가USD)×취득환율(고정), 환산효과=평가금액USD×(평가환율-취득환율)로 분해한 값입니다. 기타요인효과는 '공식 평가손익(NAV 기준, 예금·외화예치금·기타자산·운용보수 등 펀드 전체 효과 반영)'과 'SpaceX Look-through 손익(SpaceX 포지션만)'의 차이이며, 두 수치 산정 시 사용된 SpaceX 평가금액 간 약 0.8% 차이(주식수×가격 vs 원본자료 공시 평가금액)와 펀드 내 현금성자산·운용보수 효과가 함께 포함되어 있습니다.</t>
        </is>
      </c>
    </row>
    <row r="19" ht="15" customHeight="1" s="45"/>
    <row r="20" ht="15" customHeight="1" s="45"/>
    <row r="21" ht="15" customHeight="1" s="45"/>
    <row r="22" ht="15" customHeight="1" s="45"/>
    <row r="24" ht="15" customHeight="1" s="45">
      <c r="A24" s="59" t="inlineStr">
        <is>
          <t>③ 요인별 기여도 차트</t>
        </is>
      </c>
    </row>
    <row r="44" ht="17.15" customHeight="1" s="45">
      <c r="A44" s="59" t="inlineStr">
        <is>
          <t>④ 시나리오별 수익률 추이 (SpaceX 주가 등락률 vs 미래생명 수익률)</t>
        </is>
      </c>
    </row>
  </sheetData>
  <mergeCells count="6">
    <mergeCell ref="A4:E4"/>
    <mergeCell ref="A24:E24"/>
    <mergeCell ref="A18:E22"/>
    <mergeCell ref="A11:E11"/>
    <mergeCell ref="A1:E1"/>
    <mergeCell ref="A44:E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2026-07-21T02:15:42Z</dcterms:created>
  <dcterms:modified xmlns:dcterms="http://purl.org/dc/terms/" xmlns:xsi="http://www.w3.org/2001/XMLSchema-instance" xsi:type="dcterms:W3CDTF">2026-07-21T02:19:02Z</dcterms:modified>
  <cp:revision>0</cp:revision>
</cp:coreProperties>
</file>